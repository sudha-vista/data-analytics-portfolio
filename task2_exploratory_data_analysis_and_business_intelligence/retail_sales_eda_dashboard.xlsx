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91" windowHeight="5915" firstSheet="2" activeTab="3"/>
  </bookViews>
  <sheets>
    <sheet name="Sheet1" sheetId="6" state="hidden" r:id="rId1"/>
    <sheet name="Sheet4" sheetId="5" state="hidden" r:id="rId2"/>
    <sheet name="Cleaned_Data" sheetId="1" r:id="rId3"/>
    <sheet name="Dashboard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<sst xmlns="http://schemas.openxmlformats.org/spreadsheetml/2006/main" count="307" uniqueCount="85">
  <si>
    <t>ORDER_ID</t>
  </si>
  <si>
    <t>TRANSACTION_DATE</t>
  </si>
  <si>
    <t>CLIENT_NAME</t>
  </si>
  <si>
    <t>PRODUCT_NAME</t>
  </si>
  <si>
    <t>LOCATION</t>
  </si>
  <si>
    <t>SALES_AMOUNT</t>
  </si>
  <si>
    <t>MONTH</t>
  </si>
  <si>
    <t>2025-01-01</t>
  </si>
  <si>
    <t>Arun</t>
  </si>
  <si>
    <t>Laptop</t>
  </si>
  <si>
    <t>Chennai</t>
  </si>
  <si>
    <t>September</t>
  </si>
  <si>
    <t>2025-01-02</t>
  </si>
  <si>
    <t>Divya</t>
  </si>
  <si>
    <t>Mobile</t>
  </si>
  <si>
    <t>Bangalore</t>
  </si>
  <si>
    <t>2025-01-03</t>
  </si>
  <si>
    <t>Ravi</t>
  </si>
  <si>
    <t>Tablet</t>
  </si>
  <si>
    <t>Hyderabad</t>
  </si>
  <si>
    <t>2025-01-05</t>
  </si>
  <si>
    <t>Karthik</t>
  </si>
  <si>
    <t>Keyboard</t>
  </si>
  <si>
    <t>Delhi</t>
  </si>
  <si>
    <t>October</t>
  </si>
  <si>
    <t>2025-01-06</t>
  </si>
  <si>
    <t>Meena</t>
  </si>
  <si>
    <t>Mouse</t>
  </si>
  <si>
    <t>Kolkata</t>
  </si>
  <si>
    <t>2025-01-07</t>
  </si>
  <si>
    <t>Suresh</t>
  </si>
  <si>
    <t>Charger</t>
  </si>
  <si>
    <t>2025-01-08</t>
  </si>
  <si>
    <t>Anitha</t>
  </si>
  <si>
    <t>Smartwatch</t>
  </si>
  <si>
    <t>2025-01-09</t>
  </si>
  <si>
    <t>John</t>
  </si>
  <si>
    <t>Power Bank</t>
  </si>
  <si>
    <t>2025-01-10</t>
  </si>
  <si>
    <t>Lakshmi</t>
  </si>
  <si>
    <t>Mumbai</t>
  </si>
  <si>
    <t>2025-01-11</t>
  </si>
  <si>
    <t>Vikram</t>
  </si>
  <si>
    <t>2025-01-12</t>
  </si>
  <si>
    <t>Nisha</t>
  </si>
  <si>
    <t>2025-01-13</t>
  </si>
  <si>
    <t>Ajay</t>
  </si>
  <si>
    <t>Headphones</t>
  </si>
  <si>
    <t>2025-01-14</t>
  </si>
  <si>
    <t>Sneha</t>
  </si>
  <si>
    <t>2025-01-15</t>
  </si>
  <si>
    <t>Rahul</t>
  </si>
  <si>
    <t>2025-01-16</t>
  </si>
  <si>
    <t>Kiran</t>
  </si>
  <si>
    <t>2025-01-17</t>
  </si>
  <si>
    <t>Pooja</t>
  </si>
  <si>
    <t>2025-01-19</t>
  </si>
  <si>
    <t>Ritu</t>
  </si>
  <si>
    <t>2025-01-20</t>
  </si>
  <si>
    <t>Deepak</t>
  </si>
  <si>
    <t>2025-01-21</t>
  </si>
  <si>
    <t>Asha</t>
  </si>
  <si>
    <t>2025-01-22</t>
  </si>
  <si>
    <t>Ramesh</t>
  </si>
  <si>
    <t>2025-01-24</t>
  </si>
  <si>
    <t>Varun</t>
  </si>
  <si>
    <t>2025-01-25</t>
  </si>
  <si>
    <t>Neha</t>
  </si>
  <si>
    <t>2025-01-26</t>
  </si>
  <si>
    <t>Sanjay</t>
  </si>
  <si>
    <t>2025-01-27</t>
  </si>
  <si>
    <t>Tina</t>
  </si>
  <si>
    <t>2025-01-28</t>
  </si>
  <si>
    <t>Arvind</t>
  </si>
  <si>
    <t>2025-01-29</t>
  </si>
  <si>
    <t>Priya</t>
  </si>
  <si>
    <t>2025-01-30</t>
  </si>
  <si>
    <t>Sum of SALES_AMOUNT</t>
  </si>
  <si>
    <t>Count of PRODUCT_NAME</t>
  </si>
  <si>
    <t>Grand Total</t>
  </si>
  <si>
    <t>Retail Sales Dashboard</t>
  </si>
  <si>
    <t>Total Sales</t>
  </si>
  <si>
    <t>Total Orders</t>
  </si>
  <si>
    <t>Top Orders</t>
  </si>
  <si>
    <t>Top Location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</si>
</sst>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ddd\,mmmm\ d\,yyyy;@"/>
  </numFmts>
  <fonts count="29">
    <font>
      <sz val="11"/>
      <color theme="1"/>
      <name val="Calibri"/>
      <charset val="134"/>
      <scheme val="minor"/>
    </font>
    <font>
      <b/>
      <sz val="26"/>
      <color theme="1" tint="0.05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8"/>
      <color theme="1" tint="0.05"/>
      <name val="Calibri"/>
      <charset val="134"/>
      <scheme val="minor"/>
    </font>
    <font>
      <sz val="18"/>
      <color theme="1" tint="0.05"/>
      <name val="Calibri"/>
      <charset val="134"/>
      <scheme val="minor"/>
    </font>
    <font>
      <b/>
      <sz val="24"/>
      <color theme="4" tint="-0.5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3" fontId="6" fillId="0" borderId="4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78" fontId="0" fillId="0" borderId="0" xfId="0" applyNumberFormat="1"/>
    <xf numFmtId="0" fontId="9" fillId="0" borderId="9" xfId="0" applyFont="1" applyBorder="1" applyAlignment="1">
      <alignment horizontal="center" vertical="top"/>
    </xf>
    <xf numFmtId="178" fontId="9" fillId="0" borderId="9" xfId="0" applyNumberFormat="1" applyFont="1" applyBorder="1" applyAlignment="1">
      <alignment horizontal="center" vertical="top"/>
    </xf>
    <xf numFmtId="0" fontId="9" fillId="0" borderId="0" xfId="0" applyFon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numFmt numFmtId="178" formatCode="[$-409]dddd\,mmmm\ d\,yyyy;@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[Retail_Sales_EDA_Dashboard.xlsx]Sheet4!PivotTable1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Sales by Product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Sheet4!$F$14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Sheet4!$E$15:$E$24</c:f>
              <c:strCache>
                <c:ptCount val="9"/>
                <c:pt idx="0">
                  <c:v>Charger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Mobile</c:v>
                </c:pt>
                <c:pt idx="5">
                  <c:v>Mouse</c:v>
                </c:pt>
                <c:pt idx="6">
                  <c:v>Power Bank</c:v>
                </c:pt>
                <c:pt idx="7">
                  <c:v>Smartwatch</c:v>
                </c:pt>
                <c:pt idx="8">
                  <c:v>Tablet</c:v>
                </c:pt>
              </c:strCache>
            </c:strRef>
          </c:cat>
          <c:val>
            <c:numRef>
              <c:f>Sheet4!$F$15:$F$24</c:f>
              <c:numCache>
                <c:formatCode>General</c:formatCode>
                <c:ptCount val="9"/>
                <c:pt idx="0">
                  <c:v>6700</c:v>
                </c:pt>
                <c:pt idx="1">
                  <c:v>14500</c:v>
                </c:pt>
                <c:pt idx="2">
                  <c:v>9700</c:v>
                </c:pt>
                <c:pt idx="3">
                  <c:v>223000</c:v>
                </c:pt>
                <c:pt idx="4">
                  <c:v>87310</c:v>
                </c:pt>
                <c:pt idx="5">
                  <c:v>7200</c:v>
                </c:pt>
                <c:pt idx="6">
                  <c:v>5700</c:v>
                </c:pt>
                <c:pt idx="7">
                  <c:v>51000</c:v>
                </c:pt>
                <c:pt idx="8">
                  <c:v>102000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15504868"/>
        <c:axId val="748281039"/>
      </c:barChart>
      <c:catAx>
        <c:axId val="61550486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8281039"/>
        <c:crosses val="autoZero"/>
        <c:auto val="1"/>
        <c:lblAlgn val="ctr"/>
        <c:lblOffset val="100"/>
        <c:noMultiLvlLbl val="0"/>
      </c:catAx>
      <c:valAx>
        <c:axId val="74828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55048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3d70de-8f08-4601-befe-7f39cd077c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[Retail_Sales_EDA_Dashboard.xlsx]Sheet4!PivotTable8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Top Orders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Sheet4!$E$2:$E$11</c:f>
              <c:strCache>
                <c:ptCount val="9"/>
                <c:pt idx="0">
                  <c:v>Charger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Mobile</c:v>
                </c:pt>
                <c:pt idx="5">
                  <c:v>Mouse</c:v>
                </c:pt>
                <c:pt idx="6">
                  <c:v>Power Bank</c:v>
                </c:pt>
                <c:pt idx="7">
                  <c:v>Smartwatch</c:v>
                </c:pt>
                <c:pt idx="8">
                  <c:v>Tablet</c:v>
                </c:pt>
              </c:strCache>
            </c:strRef>
          </c:cat>
          <c:val>
            <c:numRef>
              <c:f>Sheet4!$F$2:$F$11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29100647"/>
        <c:axId val="145806811"/>
      </c:barChart>
      <c:catAx>
        <c:axId val="12910064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806811"/>
        <c:crosses val="autoZero"/>
        <c:auto val="1"/>
        <c:lblAlgn val="ctr"/>
        <c:lblOffset val="100"/>
        <c:noMultiLvlLbl val="0"/>
      </c:catAx>
      <c:valAx>
        <c:axId val="1458068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100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141c57-6154-47d9-8459-e6b0cf70a45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[Retail_Sales_EDA_Dashboard.xlsx]Sheet4!PivotTable7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Sales by Location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Sheet4!$J$7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Sheet4!$I$8:$I$14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</c:strCache>
            </c:strRef>
          </c:cat>
          <c:val>
            <c:numRef>
              <c:f>Sheet4!$J$8:$J$14</c:f>
              <c:numCache>
                <c:formatCode>General</c:formatCode>
                <c:ptCount val="6"/>
                <c:pt idx="0">
                  <c:v>52010</c:v>
                </c:pt>
                <c:pt idx="1">
                  <c:v>140500</c:v>
                </c:pt>
                <c:pt idx="2">
                  <c:v>66000</c:v>
                </c:pt>
                <c:pt idx="3">
                  <c:v>63400</c:v>
                </c:pt>
                <c:pt idx="4">
                  <c:v>96000</c:v>
                </c:pt>
                <c:pt idx="5">
                  <c:v>89200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ed6281-24b0-4d25-aa85-50854292d0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[Retail_Sales_EDA_Dashboard.xlsx]Sheet4!PivotTable5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Sales by Month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Sheet4!$J$1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Sheet4!$I$2:$I$4</c:f>
              <c:strCache>
                <c:ptCount val="2"/>
                <c:pt idx="0">
                  <c:v>September</c:v>
                </c:pt>
                <c:pt idx="1">
                  <c:v>October</c:v>
                </c:pt>
              </c:strCache>
            </c:strRef>
          </c:cat>
          <c:val>
            <c:numRef>
              <c:f>Sheet4!$J$2:$J$4</c:f>
              <c:numCache>
                <c:formatCode>General</c:formatCode>
                <c:ptCount val="2"/>
                <c:pt idx="0">
                  <c:v>105000</c:v>
                </c:pt>
                <c:pt idx="1">
                  <c:v>402110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420051897"/>
        <c:axId val="862983501"/>
      </c:lineChart>
      <c:catAx>
        <c:axId val="42005189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2983501"/>
        <c:crosses val="autoZero"/>
        <c:auto val="1"/>
        <c:lblAlgn val="ctr"/>
        <c:lblOffset val="100"/>
        <c:noMultiLvlLbl val="0"/>
      </c:catAx>
      <c:valAx>
        <c:axId val="8629835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00518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64b14b-4bc0-4041-8e2c-5c4f0086deb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6</xdr:row>
      <xdr:rowOff>118745</xdr:rowOff>
    </xdr:from>
    <xdr:to>
      <xdr:col>8</xdr:col>
      <xdr:colOff>607060</xdr:colOff>
      <xdr:row>21</xdr:row>
      <xdr:rowOff>0</xdr:rowOff>
    </xdr:to>
    <xdr:graphicFrame>
      <xdr:nvGraphicFramePr>
        <xdr:cNvPr id="2" name="Chart 1"/>
        <xdr:cNvGraphicFramePr/>
      </xdr:nvGraphicFramePr>
      <xdr:xfrm>
        <a:off x="7620" y="1409065"/>
        <a:ext cx="5201920" cy="2568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11430</xdr:colOff>
      <xdr:row>7</xdr:row>
      <xdr:rowOff>1905</xdr:rowOff>
    </xdr:from>
    <xdr:to>
      <xdr:col>18</xdr:col>
      <xdr:colOff>603250</xdr:colOff>
      <xdr:row>21</xdr:row>
      <xdr:rowOff>3175</xdr:rowOff>
    </xdr:to>
    <xdr:graphicFrame>
      <xdr:nvGraphicFramePr>
        <xdr:cNvPr id="5" name="Chart 4"/>
        <xdr:cNvGraphicFramePr/>
      </xdr:nvGraphicFramePr>
      <xdr:xfrm>
        <a:off x="5345430" y="1419225"/>
        <a:ext cx="4980940" cy="2561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22</xdr:row>
      <xdr:rowOff>0</xdr:rowOff>
    </xdr:from>
    <xdr:to>
      <xdr:col>8</xdr:col>
      <xdr:colOff>604520</xdr:colOff>
      <xdr:row>35</xdr:row>
      <xdr:rowOff>182245</xdr:rowOff>
    </xdr:to>
    <xdr:graphicFrame>
      <xdr:nvGraphicFramePr>
        <xdr:cNvPr id="6" name="Chart 5"/>
        <xdr:cNvGraphicFramePr/>
      </xdr:nvGraphicFramePr>
      <xdr:xfrm>
        <a:off x="7620" y="4104640"/>
        <a:ext cx="5199380" cy="2559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10160</xdr:colOff>
      <xdr:row>22</xdr:row>
      <xdr:rowOff>0</xdr:rowOff>
    </xdr:from>
    <xdr:to>
      <xdr:col>19</xdr:col>
      <xdr:colOff>5080</xdr:colOff>
      <xdr:row>35</xdr:row>
      <xdr:rowOff>180975</xdr:rowOff>
    </xdr:to>
    <xdr:graphicFrame>
      <xdr:nvGraphicFramePr>
        <xdr:cNvPr id="7" name="Chart 6"/>
        <xdr:cNvGraphicFramePr/>
      </xdr:nvGraphicFramePr>
      <xdr:xfrm>
        <a:off x="5344160" y="4104640"/>
        <a:ext cx="4993640" cy="2558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9.8665046296" refreshedBy="WIN7ULT" recordCount="27">
  <cacheSource type="worksheet">
    <worksheetSource ref="A1:A1" sheet="Sheet4"/>
  </cacheSource>
  <cacheFields count="8">
    <cacheField name="ORDER_ID" numFmtId="0">
      <sharedItems containsSemiMixedTypes="0" containsString="0" containsNumber="1" containsInteger="1" minValue="0" maxValue="1030" count="27">
        <n v="1001"/>
        <n v="1002"/>
        <n v="1003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9"/>
        <n v="1020"/>
        <n v="1021"/>
        <n v="1022"/>
        <n v="1024"/>
        <n v="1025"/>
        <n v="1026"/>
        <n v="1027"/>
        <n v="1028"/>
        <n v="1029"/>
        <n v="1030"/>
      </sharedItems>
    </cacheField>
    <cacheField name="TRANSACTION_DATE" numFmtId="178">
      <sharedItems count="27">
        <s v="2025-01-01"/>
        <s v="2025-01-02"/>
        <s v="2025-01-03"/>
        <s v="2025-01-05"/>
        <s v="2025-01-06"/>
        <s v="2025-01-07"/>
        <s v="2025-01-08"/>
        <s v="2025-01-09"/>
        <s v="2025-01-10"/>
        <s v="2025-01-11"/>
        <s v="2025-01-12"/>
        <s v="2025-01-13"/>
        <s v="2025-01-14"/>
        <s v="2025-01-15"/>
        <s v="2025-01-16"/>
        <s v="2025-01-17"/>
        <s v="2025-01-19"/>
        <s v="2025-01-20"/>
        <s v="2025-01-21"/>
        <s v="2025-01-22"/>
        <s v="2025-01-24"/>
        <s v="2025-01-25"/>
        <s v="2025-01-26"/>
        <s v="2025-01-27"/>
        <s v="2025-01-28"/>
        <s v="2025-01-29"/>
        <s v="2025-01-30"/>
      </sharedItems>
      <fieldGroup par="7"/>
    </cacheField>
    <cacheField name="CLIENT_NAME" numFmtId="0">
      <sharedItems count="26">
        <s v="Arun"/>
        <s v="Divya"/>
        <s v="Ravi"/>
        <s v="Karthik"/>
        <s v="Meena"/>
        <s v="Suresh"/>
        <s v="Anitha"/>
        <s v="John"/>
        <s v="Lakshmi"/>
        <s v="Vikram"/>
        <s v="Nisha"/>
        <s v="Ajay"/>
        <s v="Sneha"/>
        <s v="Rahul"/>
        <s v="Kiran"/>
        <s v="Pooja"/>
        <s v="Ritu"/>
        <s v="Deepak"/>
        <s v="Asha"/>
        <s v="Ramesh"/>
        <s v="Varun"/>
        <s v="Neha"/>
        <s v="Sanjay"/>
        <s v="Tina"/>
        <s v="Arvind"/>
        <s v="Priya"/>
      </sharedItems>
    </cacheField>
    <cacheField name="PRODUCT_NAME" numFmtId="0">
      <sharedItems count="9">
        <s v="Laptop"/>
        <s v="Mobile"/>
        <s v="Tablet"/>
        <s v="Keyboard"/>
        <s v="Mouse"/>
        <s v="Charger"/>
        <s v="Smartwatch"/>
        <s v="Power Bank"/>
        <s v="Headphones"/>
      </sharedItems>
    </cacheField>
    <cacheField name="LOCATION" numFmtId="0">
      <sharedItems count="6">
        <s v="Chennai"/>
        <s v="Bangalore"/>
        <s v="Hyderabad"/>
        <s v="Delhi"/>
        <s v="Kolkata"/>
        <s v="Mumbai"/>
      </sharedItems>
    </cacheField>
    <cacheField name="SALES_AMOUNT" numFmtId="0">
      <sharedItems containsSemiMixedTypes="0" containsString="0" containsNumber="1" containsInteger="1" minValue="0" maxValue="61000" count="26">
        <n v="50000"/>
        <n v="30000"/>
        <n v="25000"/>
        <n v="3000"/>
        <n v="3200"/>
        <n v="2500"/>
        <n v="16000"/>
        <n v="900"/>
        <n v="60000"/>
        <n v="28000"/>
        <n v="27000"/>
        <n v="7000"/>
        <n v="3500"/>
        <n v="4000"/>
        <n v="2000"/>
        <n v="18000"/>
        <n v="52000"/>
        <n v="310"/>
        <n v="26000"/>
        <n v="61000"/>
        <n v="29000"/>
        <n v="2200"/>
        <n v="7500"/>
        <n v="24000"/>
        <n v="17000"/>
        <n v="4800"/>
      </sharedItems>
    </cacheField>
    <cacheField name="MONTH" numFmtId="0">
      <sharedItems count="2">
        <s v="September"/>
        <s v="October"/>
      </sharedItems>
    </cacheField>
    <cacheField name="TRANSACTION_DATE2" numFmtId="0" databaseField="0">
      <fieldGroup base="1">
        <discretePr count="27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x v="0"/>
    <x v="0"/>
    <x v="0"/>
    <x v="0"/>
    <x v="0"/>
    <x v="0"/>
    <x v="0"/>
  </r>
  <r>
    <x v="1"/>
    <x v="1"/>
    <x v="1"/>
    <x v="1"/>
    <x v="1"/>
    <x v="1"/>
    <x v="0"/>
  </r>
  <r>
    <x v="2"/>
    <x v="2"/>
    <x v="2"/>
    <x v="2"/>
    <x v="2"/>
    <x v="2"/>
    <x v="0"/>
  </r>
  <r>
    <x v="3"/>
    <x v="3"/>
    <x v="3"/>
    <x v="3"/>
    <x v="3"/>
    <x v="3"/>
    <x v="1"/>
  </r>
  <r>
    <x v="4"/>
    <x v="4"/>
    <x v="4"/>
    <x v="4"/>
    <x v="4"/>
    <x v="4"/>
    <x v="1"/>
  </r>
  <r>
    <x v="5"/>
    <x v="5"/>
    <x v="5"/>
    <x v="5"/>
    <x v="0"/>
    <x v="5"/>
    <x v="1"/>
  </r>
  <r>
    <x v="6"/>
    <x v="6"/>
    <x v="6"/>
    <x v="6"/>
    <x v="1"/>
    <x v="6"/>
    <x v="1"/>
  </r>
  <r>
    <x v="7"/>
    <x v="7"/>
    <x v="7"/>
    <x v="7"/>
    <x v="2"/>
    <x v="7"/>
    <x v="1"/>
  </r>
  <r>
    <x v="8"/>
    <x v="8"/>
    <x v="8"/>
    <x v="0"/>
    <x v="5"/>
    <x v="8"/>
    <x v="1"/>
  </r>
  <r>
    <x v="9"/>
    <x v="9"/>
    <x v="9"/>
    <x v="1"/>
    <x v="3"/>
    <x v="9"/>
    <x v="1"/>
  </r>
  <r>
    <x v="10"/>
    <x v="10"/>
    <x v="10"/>
    <x v="2"/>
    <x v="4"/>
    <x v="10"/>
    <x v="1"/>
  </r>
  <r>
    <x v="11"/>
    <x v="11"/>
    <x v="11"/>
    <x v="8"/>
    <x v="0"/>
    <x v="11"/>
    <x v="1"/>
  </r>
  <r>
    <x v="12"/>
    <x v="12"/>
    <x v="12"/>
    <x v="3"/>
    <x v="1"/>
    <x v="12"/>
    <x v="1"/>
  </r>
  <r>
    <x v="13"/>
    <x v="13"/>
    <x v="13"/>
    <x v="4"/>
    <x v="2"/>
    <x v="13"/>
    <x v="1"/>
  </r>
  <r>
    <x v="14"/>
    <x v="14"/>
    <x v="14"/>
    <x v="5"/>
    <x v="5"/>
    <x v="14"/>
    <x v="1"/>
  </r>
  <r>
    <x v="15"/>
    <x v="15"/>
    <x v="15"/>
    <x v="6"/>
    <x v="3"/>
    <x v="15"/>
    <x v="1"/>
  </r>
  <r>
    <x v="16"/>
    <x v="16"/>
    <x v="16"/>
    <x v="0"/>
    <x v="0"/>
    <x v="16"/>
    <x v="1"/>
  </r>
  <r>
    <x v="17"/>
    <x v="17"/>
    <x v="17"/>
    <x v="1"/>
    <x v="1"/>
    <x v="17"/>
    <x v="1"/>
  </r>
  <r>
    <x v="18"/>
    <x v="18"/>
    <x v="18"/>
    <x v="2"/>
    <x v="2"/>
    <x v="18"/>
    <x v="1"/>
  </r>
  <r>
    <x v="19"/>
    <x v="19"/>
    <x v="19"/>
    <x v="3"/>
    <x v="5"/>
    <x v="4"/>
    <x v="1"/>
  </r>
  <r>
    <x v="20"/>
    <x v="20"/>
    <x v="20"/>
    <x v="0"/>
    <x v="4"/>
    <x v="19"/>
    <x v="1"/>
  </r>
  <r>
    <x v="21"/>
    <x v="21"/>
    <x v="21"/>
    <x v="1"/>
    <x v="0"/>
    <x v="20"/>
    <x v="1"/>
  </r>
  <r>
    <x v="22"/>
    <x v="22"/>
    <x v="22"/>
    <x v="5"/>
    <x v="1"/>
    <x v="21"/>
    <x v="1"/>
  </r>
  <r>
    <x v="23"/>
    <x v="23"/>
    <x v="23"/>
    <x v="8"/>
    <x v="2"/>
    <x v="22"/>
    <x v="1"/>
  </r>
  <r>
    <x v="24"/>
    <x v="24"/>
    <x v="24"/>
    <x v="2"/>
    <x v="5"/>
    <x v="23"/>
    <x v="1"/>
  </r>
  <r>
    <x v="25"/>
    <x v="25"/>
    <x v="25"/>
    <x v="6"/>
    <x v="3"/>
    <x v="24"/>
    <x v="1"/>
  </r>
  <r>
    <x v="26"/>
    <x v="26"/>
    <x v="3"/>
    <x v="7"/>
    <x v="4"/>
    <x v="2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E14:F24" firstHeaderRow="1" firstDataRow="1" firstDataCol="1"/>
  <pivotFields count="8">
    <pivotField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showAll="0"/>
    <pivotField axis="axisRow" compact="0" showAll="0">
      <items count="10">
        <item x="5"/>
        <item x="8"/>
        <item x="3"/>
        <item x="0"/>
        <item x="1"/>
        <item x="4"/>
        <item x="7"/>
        <item x="6"/>
        <item x="2"/>
        <item t="default"/>
      </items>
    </pivotField>
    <pivotField compact="0" showAll="0"/>
    <pivotField dataField="1" compact="0" showAll="0">
      <items count="27">
        <item x="17"/>
        <item x="7"/>
        <item x="14"/>
        <item x="21"/>
        <item x="5"/>
        <item x="3"/>
        <item x="4"/>
        <item x="12"/>
        <item x="13"/>
        <item x="25"/>
        <item x="11"/>
        <item x="22"/>
        <item x="6"/>
        <item x="24"/>
        <item x="15"/>
        <item x="23"/>
        <item x="2"/>
        <item x="18"/>
        <item x="10"/>
        <item x="9"/>
        <item x="20"/>
        <item x="1"/>
        <item x="0"/>
        <item x="16"/>
        <item x="8"/>
        <item x="19"/>
        <item t="default"/>
      </items>
    </pivotField>
    <pivotField compact="0" showAll="0"/>
    <pivotField compact="0" defaultSubtotal="0" showAll="0">
      <items count="1">
        <item x="0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_AMOUNT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I1:J4" firstHeaderRow="1" firstDataRow="1" firstDataCol="1"/>
  <pivotFields count="8">
    <pivotField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showAll="0"/>
    <pivotField compact="0" showAll="0"/>
    <pivotField compact="0" showAll="0"/>
    <pivotField dataField="1" compact="0" showAll="0">
      <items count="27">
        <item x="17"/>
        <item x="7"/>
        <item x="14"/>
        <item x="21"/>
        <item x="5"/>
        <item x="3"/>
        <item x="4"/>
        <item x="12"/>
        <item x="13"/>
        <item x="25"/>
        <item x="11"/>
        <item x="22"/>
        <item x="6"/>
        <item x="24"/>
        <item x="15"/>
        <item x="23"/>
        <item x="2"/>
        <item x="18"/>
        <item x="10"/>
        <item x="9"/>
        <item x="20"/>
        <item x="1"/>
        <item x="0"/>
        <item x="16"/>
        <item x="8"/>
        <item x="19"/>
        <item t="default"/>
      </items>
    </pivotField>
    <pivotField axis="axisRow" compact="0" showAll="0">
      <items count="3">
        <item x="0"/>
        <item x="1"/>
        <item t="default"/>
      </items>
    </pivotField>
    <pivotField compact="0" defaultSubtotal="0" showAll="0">
      <items count="1">
        <item x="0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SALES_AMOUNT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B4" firstHeaderRow="1" firstDataRow="1" firstDataCol="1"/>
  <pivotFields count="8">
    <pivotField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showAll="0"/>
    <pivotField compact="0" showAll="0">
      <items count="27">
        <item x="11"/>
        <item x="6"/>
        <item x="0"/>
        <item x="24"/>
        <item x="18"/>
        <item x="17"/>
        <item x="1"/>
        <item x="7"/>
        <item x="3"/>
        <item x="14"/>
        <item x="8"/>
        <item x="4"/>
        <item x="21"/>
        <item x="10"/>
        <item x="15"/>
        <item x="25"/>
        <item x="13"/>
        <item x="19"/>
        <item x="2"/>
        <item x="16"/>
        <item x="22"/>
        <item x="12"/>
        <item x="5"/>
        <item x="23"/>
        <item x="20"/>
        <item x="9"/>
        <item t="default"/>
      </items>
    </pivotField>
    <pivotField compact="0" showAll="0"/>
    <pivotField compact="0" showAll="0"/>
    <pivotField dataField="1" compact="0" showAll="0">
      <items count="27">
        <item x="17"/>
        <item x="7"/>
        <item x="14"/>
        <item x="21"/>
        <item x="5"/>
        <item x="3"/>
        <item x="4"/>
        <item x="12"/>
        <item x="13"/>
        <item x="25"/>
        <item x="11"/>
        <item x="22"/>
        <item x="6"/>
        <item x="24"/>
        <item x="15"/>
        <item x="23"/>
        <item x="2"/>
        <item x="18"/>
        <item x="10"/>
        <item x="9"/>
        <item x="20"/>
        <item x="1"/>
        <item x="0"/>
        <item x="16"/>
        <item x="8"/>
        <item x="19"/>
        <item t="default"/>
      </items>
    </pivotField>
    <pivotField axis="axisRow" compact="0" showAll="0">
      <items count="3">
        <item x="0"/>
        <item x="1"/>
        <item t="default"/>
      </items>
    </pivotField>
    <pivotField compact="0" defaultSubtotal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SALES_AMOUNT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I7:J14" firstHeaderRow="1" firstDataRow="1" firstDataCol="1"/>
  <pivotFields count="8">
    <pivotField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showAll="0"/>
    <pivotField compact="0" showAll="0"/>
    <pivotField compact="0" showAll="0"/>
    <pivotField axis="axisRow" compact="0" showAll="0">
      <items count="7">
        <item x="1"/>
        <item x="0"/>
        <item x="3"/>
        <item x="2"/>
        <item x="4"/>
        <item x="5"/>
        <item t="default"/>
      </items>
    </pivotField>
    <pivotField dataField="1" compact="0" showAll="0">
      <items count="27">
        <item x="17"/>
        <item x="7"/>
        <item x="14"/>
        <item x="21"/>
        <item x="5"/>
        <item x="3"/>
        <item x="4"/>
        <item x="12"/>
        <item x="13"/>
        <item x="25"/>
        <item x="11"/>
        <item x="22"/>
        <item x="6"/>
        <item x="24"/>
        <item x="15"/>
        <item x="23"/>
        <item x="2"/>
        <item x="18"/>
        <item x="10"/>
        <item x="9"/>
        <item x="20"/>
        <item x="1"/>
        <item x="0"/>
        <item x="16"/>
        <item x="8"/>
        <item x="19"/>
        <item t="default"/>
      </items>
    </pivotField>
    <pivotField compact="0" showAll="0"/>
    <pivotField compact="0" defaultSubtotal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E1:F11" firstHeaderRow="1" firstDataRow="1" firstDataCol="1"/>
  <pivotFields count="8">
    <pivotField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showAll="0"/>
    <pivotField compact="0" showAll="0"/>
    <pivotField axis="axisRow" dataField="1" compact="0" showAll="0">
      <items count="10">
        <item x="5"/>
        <item x="8"/>
        <item x="3"/>
        <item x="0"/>
        <item x="1"/>
        <item x="4"/>
        <item x="7"/>
        <item x="6"/>
        <item x="2"/>
        <item t="default"/>
      </items>
    </pivotField>
    <pivotField compact="0" showAll="0"/>
    <pivotField compact="0" showAll="0"/>
    <pivotField compact="0" showAll="0"/>
    <pivotField compact="0" defaultSubtotal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PRODUCT_NAME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G28" totalsRowShown="0">
  <autoFilter xmlns:etc="http://www.wps.cn/officeDocument/2017/etCustomData" ref="A1:G28" etc:filterBottomFollowUsedRange="0"/>
  <tableColumns count="7">
    <tableColumn id="1" name="ORDER_ID"/>
    <tableColumn id="2" name="TRANSACTION_DATE"/>
    <tableColumn id="3" name="CLIENT_NAME"/>
    <tableColumn id="4" name="PRODUCT_NAME"/>
    <tableColumn id="5" name="LOCATION"/>
    <tableColumn id="6" name="SALES_AMOUNT"/>
    <tableColumn id="7" name="MONTH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G28" totalsRowShown="0">
  <tableColumns count="7">
    <tableColumn id="1" name="ORDER_ID"/>
    <tableColumn id="2" name="TRANSACTION_DATE" dataDxfId="0"/>
    <tableColumn id="3" name="CLIENT_NAME"/>
    <tableColumn id="4" name="PRODUCT_NAME"/>
    <tableColumn id="5" name="LOCATION"/>
    <tableColumn id="6" name="SALES_AMOUNT"/>
    <tableColumn id="7" name="MONTH" dataDxfId="1">
      <calculatedColumnFormula>TEXT(A2,"MMMM")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I5" sqref="I5"/>
    </sheetView>
  </sheetViews>
  <sheetFormatPr defaultColWidth="8.88888888888889" defaultRowHeight="14.4" outlineLevelCol="6"/>
  <cols>
    <col min="1" max="1" width="10.2222222222222" customWidth="1"/>
    <col min="2" max="2" width="20.5555555555556" customWidth="1"/>
    <col min="3" max="3" width="14.4444444444444" customWidth="1"/>
    <col min="4" max="4" width="17" customWidth="1"/>
    <col min="5" max="5" width="10.5555555555556" customWidth="1"/>
    <col min="6" max="6" width="16.5555555555556" customWidth="1"/>
    <col min="7" max="7" width="10.555555555555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50000</v>
      </c>
      <c r="G2" t="s">
        <v>11</v>
      </c>
    </row>
    <row r="3" spans="1:7">
      <c r="A3">
        <v>1002</v>
      </c>
      <c r="B3" t="s">
        <v>12</v>
      </c>
      <c r="C3" t="s">
        <v>13</v>
      </c>
      <c r="D3" t="s">
        <v>14</v>
      </c>
      <c r="E3" t="s">
        <v>15</v>
      </c>
      <c r="F3">
        <v>30000</v>
      </c>
      <c r="G3" t="s">
        <v>11</v>
      </c>
    </row>
    <row r="4" spans="1:7">
      <c r="A4">
        <v>1003</v>
      </c>
      <c r="B4" t="s">
        <v>16</v>
      </c>
      <c r="C4" t="s">
        <v>17</v>
      </c>
      <c r="D4" t="s">
        <v>18</v>
      </c>
      <c r="E4" t="s">
        <v>19</v>
      </c>
      <c r="F4">
        <v>25000</v>
      </c>
      <c r="G4" t="s">
        <v>11</v>
      </c>
    </row>
    <row r="5" spans="1:7">
      <c r="A5">
        <v>1005</v>
      </c>
      <c r="B5" t="s">
        <v>20</v>
      </c>
      <c r="C5" t="s">
        <v>21</v>
      </c>
      <c r="D5" t="s">
        <v>22</v>
      </c>
      <c r="E5" t="s">
        <v>23</v>
      </c>
      <c r="F5">
        <v>3000</v>
      </c>
      <c r="G5" t="s">
        <v>24</v>
      </c>
    </row>
    <row r="6" spans="1:7">
      <c r="A6">
        <v>1006</v>
      </c>
      <c r="B6" t="s">
        <v>25</v>
      </c>
      <c r="C6" t="s">
        <v>26</v>
      </c>
      <c r="D6" t="s">
        <v>27</v>
      </c>
      <c r="E6" t="s">
        <v>28</v>
      </c>
      <c r="F6">
        <v>3200</v>
      </c>
      <c r="G6" t="s">
        <v>24</v>
      </c>
    </row>
    <row r="7" spans="1:7">
      <c r="A7">
        <v>1007</v>
      </c>
      <c r="B7" t="s">
        <v>29</v>
      </c>
      <c r="C7" t="s">
        <v>30</v>
      </c>
      <c r="D7" t="s">
        <v>31</v>
      </c>
      <c r="E7" t="s">
        <v>10</v>
      </c>
      <c r="F7">
        <v>2500</v>
      </c>
      <c r="G7" t="s">
        <v>24</v>
      </c>
    </row>
    <row r="8" spans="1:7">
      <c r="A8">
        <v>1008</v>
      </c>
      <c r="B8" t="s">
        <v>32</v>
      </c>
      <c r="C8" t="s">
        <v>33</v>
      </c>
      <c r="D8" t="s">
        <v>34</v>
      </c>
      <c r="E8" t="s">
        <v>15</v>
      </c>
      <c r="F8">
        <v>16000</v>
      </c>
      <c r="G8" t="s">
        <v>24</v>
      </c>
    </row>
    <row r="9" spans="1:7">
      <c r="A9">
        <v>1009</v>
      </c>
      <c r="B9" t="s">
        <v>35</v>
      </c>
      <c r="C9" t="s">
        <v>36</v>
      </c>
      <c r="D9" t="s">
        <v>37</v>
      </c>
      <c r="E9" t="s">
        <v>19</v>
      </c>
      <c r="F9">
        <v>900</v>
      </c>
      <c r="G9" t="s">
        <v>24</v>
      </c>
    </row>
    <row r="10" spans="1:7">
      <c r="A10">
        <v>1010</v>
      </c>
      <c r="B10" t="s">
        <v>38</v>
      </c>
      <c r="C10" t="s">
        <v>39</v>
      </c>
      <c r="D10" t="s">
        <v>9</v>
      </c>
      <c r="E10" t="s">
        <v>40</v>
      </c>
      <c r="F10">
        <v>60000</v>
      </c>
      <c r="G10" t="s">
        <v>24</v>
      </c>
    </row>
    <row r="11" spans="1:7">
      <c r="A11">
        <v>1011</v>
      </c>
      <c r="B11" t="s">
        <v>41</v>
      </c>
      <c r="C11" t="s">
        <v>42</v>
      </c>
      <c r="D11" t="s">
        <v>14</v>
      </c>
      <c r="E11" t="s">
        <v>23</v>
      </c>
      <c r="F11">
        <v>28000</v>
      </c>
      <c r="G11" t="s">
        <v>24</v>
      </c>
    </row>
    <row r="12" spans="1:7">
      <c r="A12">
        <v>1012</v>
      </c>
      <c r="B12" t="s">
        <v>43</v>
      </c>
      <c r="C12" t="s">
        <v>44</v>
      </c>
      <c r="D12" t="s">
        <v>18</v>
      </c>
      <c r="E12" t="s">
        <v>28</v>
      </c>
      <c r="F12">
        <v>27000</v>
      </c>
      <c r="G12" t="s">
        <v>24</v>
      </c>
    </row>
    <row r="13" spans="1:7">
      <c r="A13">
        <v>1013</v>
      </c>
      <c r="B13" t="s">
        <v>45</v>
      </c>
      <c r="C13" t="s">
        <v>46</v>
      </c>
      <c r="D13" t="s">
        <v>47</v>
      </c>
      <c r="E13" t="s">
        <v>10</v>
      </c>
      <c r="F13">
        <v>7000</v>
      </c>
      <c r="G13" t="s">
        <v>24</v>
      </c>
    </row>
    <row r="14" spans="1:7">
      <c r="A14">
        <v>1014</v>
      </c>
      <c r="B14" t="s">
        <v>48</v>
      </c>
      <c r="C14" t="s">
        <v>49</v>
      </c>
      <c r="D14" t="s">
        <v>22</v>
      </c>
      <c r="E14" t="s">
        <v>15</v>
      </c>
      <c r="F14">
        <v>3500</v>
      </c>
      <c r="G14" t="s">
        <v>24</v>
      </c>
    </row>
    <row r="15" spans="1:7">
      <c r="A15">
        <v>1015</v>
      </c>
      <c r="B15" t="s">
        <v>50</v>
      </c>
      <c r="C15" t="s">
        <v>51</v>
      </c>
      <c r="D15" t="s">
        <v>27</v>
      </c>
      <c r="E15" t="s">
        <v>19</v>
      </c>
      <c r="F15">
        <v>4000</v>
      </c>
      <c r="G15" t="s">
        <v>24</v>
      </c>
    </row>
    <row r="16" spans="1:7">
      <c r="A16">
        <v>1016</v>
      </c>
      <c r="B16" t="s">
        <v>52</v>
      </c>
      <c r="C16" t="s">
        <v>53</v>
      </c>
      <c r="D16" t="s">
        <v>31</v>
      </c>
      <c r="E16" t="s">
        <v>40</v>
      </c>
      <c r="F16">
        <v>2000</v>
      </c>
      <c r="G16" t="s">
        <v>24</v>
      </c>
    </row>
    <row r="17" spans="1:7">
      <c r="A17">
        <v>1017</v>
      </c>
      <c r="B17" t="s">
        <v>54</v>
      </c>
      <c r="C17" t="s">
        <v>55</v>
      </c>
      <c r="D17" t="s">
        <v>34</v>
      </c>
      <c r="E17" t="s">
        <v>23</v>
      </c>
      <c r="F17">
        <v>18000</v>
      </c>
      <c r="G17" t="s">
        <v>24</v>
      </c>
    </row>
    <row r="18" spans="1:7">
      <c r="A18">
        <v>1019</v>
      </c>
      <c r="B18" t="s">
        <v>56</v>
      </c>
      <c r="C18" t="s">
        <v>57</v>
      </c>
      <c r="D18" t="s">
        <v>9</v>
      </c>
      <c r="E18" t="s">
        <v>10</v>
      </c>
      <c r="F18">
        <v>52000</v>
      </c>
      <c r="G18" t="s">
        <v>24</v>
      </c>
    </row>
    <row r="19" spans="1:7">
      <c r="A19">
        <v>1020</v>
      </c>
      <c r="B19" t="s">
        <v>58</v>
      </c>
      <c r="C19" t="s">
        <v>59</v>
      </c>
      <c r="D19" t="s">
        <v>14</v>
      </c>
      <c r="E19" t="s">
        <v>15</v>
      </c>
      <c r="F19">
        <v>310</v>
      </c>
      <c r="G19" t="s">
        <v>24</v>
      </c>
    </row>
    <row r="20" spans="1:7">
      <c r="A20">
        <v>1021</v>
      </c>
      <c r="B20" t="s">
        <v>60</v>
      </c>
      <c r="C20" t="s">
        <v>61</v>
      </c>
      <c r="D20" t="s">
        <v>18</v>
      </c>
      <c r="E20" t="s">
        <v>19</v>
      </c>
      <c r="F20">
        <v>26000</v>
      </c>
      <c r="G20" t="s">
        <v>24</v>
      </c>
    </row>
    <row r="21" spans="1:7">
      <c r="A21">
        <v>1022</v>
      </c>
      <c r="B21" t="s">
        <v>62</v>
      </c>
      <c r="C21" t="s">
        <v>63</v>
      </c>
      <c r="D21" t="s">
        <v>22</v>
      </c>
      <c r="E21" t="s">
        <v>40</v>
      </c>
      <c r="F21">
        <v>3200</v>
      </c>
      <c r="G21" t="s">
        <v>24</v>
      </c>
    </row>
    <row r="22" spans="1:7">
      <c r="A22">
        <v>1024</v>
      </c>
      <c r="B22" t="s">
        <v>64</v>
      </c>
      <c r="C22" t="s">
        <v>65</v>
      </c>
      <c r="D22" t="s">
        <v>9</v>
      </c>
      <c r="E22" t="s">
        <v>28</v>
      </c>
      <c r="F22">
        <v>61000</v>
      </c>
      <c r="G22" t="s">
        <v>24</v>
      </c>
    </row>
    <row r="23" spans="1:7">
      <c r="A23">
        <v>1025</v>
      </c>
      <c r="B23" t="s">
        <v>66</v>
      </c>
      <c r="C23" t="s">
        <v>67</v>
      </c>
      <c r="D23" t="s">
        <v>14</v>
      </c>
      <c r="E23" t="s">
        <v>10</v>
      </c>
      <c r="F23">
        <v>29000</v>
      </c>
      <c r="G23" t="s">
        <v>24</v>
      </c>
    </row>
    <row r="24" spans="1:7">
      <c r="A24">
        <v>1026</v>
      </c>
      <c r="B24" t="s">
        <v>68</v>
      </c>
      <c r="C24" t="s">
        <v>69</v>
      </c>
      <c r="D24" t="s">
        <v>31</v>
      </c>
      <c r="E24" t="s">
        <v>15</v>
      </c>
      <c r="F24">
        <v>2200</v>
      </c>
      <c r="G24" t="s">
        <v>24</v>
      </c>
    </row>
    <row r="25" spans="1:7">
      <c r="A25">
        <v>1027</v>
      </c>
      <c r="B25" t="s">
        <v>70</v>
      </c>
      <c r="C25" t="s">
        <v>71</v>
      </c>
      <c r="D25" t="s">
        <v>47</v>
      </c>
      <c r="E25" t="s">
        <v>19</v>
      </c>
      <c r="F25">
        <v>7500</v>
      </c>
      <c r="G25" t="s">
        <v>24</v>
      </c>
    </row>
    <row r="26" spans="1:7">
      <c r="A26">
        <v>1028</v>
      </c>
      <c r="B26" t="s">
        <v>72</v>
      </c>
      <c r="C26" t="s">
        <v>73</v>
      </c>
      <c r="D26" t="s">
        <v>18</v>
      </c>
      <c r="E26" t="s">
        <v>40</v>
      </c>
      <c r="F26">
        <v>24000</v>
      </c>
      <c r="G26" t="s">
        <v>24</v>
      </c>
    </row>
    <row r="27" spans="1:7">
      <c r="A27">
        <v>1029</v>
      </c>
      <c r="B27" t="s">
        <v>74</v>
      </c>
      <c r="C27" t="s">
        <v>75</v>
      </c>
      <c r="D27" t="s">
        <v>34</v>
      </c>
      <c r="E27" t="s">
        <v>23</v>
      </c>
      <c r="F27">
        <v>17000</v>
      </c>
      <c r="G27" t="s">
        <v>24</v>
      </c>
    </row>
    <row r="28" spans="1:7">
      <c r="A28">
        <v>1030</v>
      </c>
      <c r="B28" t="s">
        <v>76</v>
      </c>
      <c r="C28" t="s">
        <v>21</v>
      </c>
      <c r="D28" t="s">
        <v>37</v>
      </c>
      <c r="E28" t="s">
        <v>28</v>
      </c>
      <c r="F28">
        <v>4800</v>
      </c>
      <c r="G28" t="s">
        <v>24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opLeftCell="E16" workbookViewId="0">
      <selection activeCell="F24" sqref="F24"/>
    </sheetView>
  </sheetViews>
  <sheetFormatPr defaultColWidth="8.88888888888889" defaultRowHeight="14.4"/>
  <cols>
    <col min="1" max="1" width="11.6666666666667"/>
    <col min="2" max="3" width="23.7777777777778"/>
    <col min="4" max="4" width="8.88888888888889" customWidth="1"/>
    <col min="5" max="5" width="25.7777777777778" customWidth="1"/>
    <col min="6" max="6" width="23.7777777777778" customWidth="1"/>
    <col min="7" max="8" width="8.88888888888889" customWidth="1"/>
    <col min="9" max="9" width="23.7777777777778"/>
    <col min="10" max="10" width="23.7777777777778" customWidth="1"/>
  </cols>
  <sheetData>
    <row r="1" spans="1:10">
      <c r="A1" t="s">
        <v>6</v>
      </c>
      <c r="B1" t="s">
        <v>77</v>
      </c>
      <c r="E1" t="s">
        <v>3</v>
      </c>
      <c r="F1" t="s">
        <v>78</v>
      </c>
      <c r="I1" t="s">
        <v>6</v>
      </c>
      <c r="J1" t="s">
        <v>77</v>
      </c>
    </row>
    <row r="2" spans="1:10">
      <c r="A2" t="s">
        <v>11</v>
      </c>
      <c r="B2">
        <v>105000</v>
      </c>
      <c r="E2" t="s">
        <v>31</v>
      </c>
      <c r="F2">
        <v>3</v>
      </c>
      <c r="I2" t="s">
        <v>11</v>
      </c>
      <c r="J2">
        <v>105000</v>
      </c>
    </row>
    <row r="3" spans="1:10">
      <c r="A3" t="s">
        <v>24</v>
      </c>
      <c r="B3">
        <v>402110</v>
      </c>
      <c r="E3" t="s">
        <v>47</v>
      </c>
      <c r="F3">
        <v>2</v>
      </c>
      <c r="I3" t="s">
        <v>24</v>
      </c>
      <c r="J3">
        <v>402110</v>
      </c>
    </row>
    <row r="4" spans="1:10">
      <c r="A4" t="s">
        <v>79</v>
      </c>
      <c r="B4">
        <v>507110</v>
      </c>
      <c r="E4" t="s">
        <v>22</v>
      </c>
      <c r="F4">
        <v>3</v>
      </c>
      <c r="I4" t="s">
        <v>79</v>
      </c>
      <c r="J4">
        <v>507110</v>
      </c>
    </row>
    <row r="5" spans="5:6">
      <c r="E5" t="s">
        <v>9</v>
      </c>
      <c r="F5">
        <v>4</v>
      </c>
    </row>
    <row r="6" spans="5:6">
      <c r="E6" t="s">
        <v>14</v>
      </c>
      <c r="F6">
        <v>4</v>
      </c>
    </row>
    <row r="7" spans="5:10">
      <c r="E7" t="s">
        <v>27</v>
      </c>
      <c r="F7">
        <v>2</v>
      </c>
      <c r="I7" t="s">
        <v>4</v>
      </c>
      <c r="J7" t="s">
        <v>77</v>
      </c>
    </row>
    <row r="8" spans="5:10">
      <c r="E8" t="s">
        <v>37</v>
      </c>
      <c r="F8">
        <v>2</v>
      </c>
      <c r="I8" t="s">
        <v>15</v>
      </c>
      <c r="J8">
        <v>52010</v>
      </c>
    </row>
    <row r="9" spans="5:10">
      <c r="E9" t="s">
        <v>34</v>
      </c>
      <c r="F9">
        <v>3</v>
      </c>
      <c r="I9" t="s">
        <v>10</v>
      </c>
      <c r="J9">
        <v>140500</v>
      </c>
    </row>
    <row r="10" spans="5:10">
      <c r="E10" t="s">
        <v>18</v>
      </c>
      <c r="F10">
        <v>4</v>
      </c>
      <c r="I10" t="s">
        <v>23</v>
      </c>
      <c r="J10">
        <v>66000</v>
      </c>
    </row>
    <row r="11" spans="5:10">
      <c r="E11" t="s">
        <v>79</v>
      </c>
      <c r="F11">
        <v>27</v>
      </c>
      <c r="I11" t="s">
        <v>19</v>
      </c>
      <c r="J11">
        <v>63400</v>
      </c>
    </row>
    <row r="12" spans="9:10">
      <c r="I12" t="s">
        <v>28</v>
      </c>
      <c r="J12">
        <v>96000</v>
      </c>
    </row>
    <row r="13" spans="9:10">
      <c r="I13" t="s">
        <v>40</v>
      </c>
      <c r="J13">
        <v>89200</v>
      </c>
    </row>
    <row r="14" spans="5:10">
      <c r="E14" t="s">
        <v>3</v>
      </c>
      <c r="F14" t="s">
        <v>77</v>
      </c>
      <c r="I14" t="s">
        <v>79</v>
      </c>
      <c r="J14">
        <v>507110</v>
      </c>
    </row>
    <row r="15" spans="5:6">
      <c r="E15" t="s">
        <v>31</v>
      </c>
      <c r="F15">
        <v>6700</v>
      </c>
    </row>
    <row r="16" spans="5:6">
      <c r="E16" t="s">
        <v>47</v>
      </c>
      <c r="F16">
        <v>14500</v>
      </c>
    </row>
    <row r="17" spans="5:6">
      <c r="E17" t="s">
        <v>22</v>
      </c>
      <c r="F17">
        <v>9700</v>
      </c>
    </row>
    <row r="18" spans="5:6">
      <c r="E18" t="s">
        <v>9</v>
      </c>
      <c r="F18">
        <v>223000</v>
      </c>
    </row>
    <row r="19" spans="5:6">
      <c r="E19" t="s">
        <v>14</v>
      </c>
      <c r="F19">
        <v>87310</v>
      </c>
    </row>
    <row r="20" spans="5:6">
      <c r="E20" t="s">
        <v>27</v>
      </c>
      <c r="F20">
        <v>7200</v>
      </c>
    </row>
    <row r="21" spans="5:6">
      <c r="E21" t="s">
        <v>37</v>
      </c>
      <c r="F21">
        <v>5700</v>
      </c>
    </row>
    <row r="22" spans="5:6">
      <c r="E22" t="s">
        <v>34</v>
      </c>
      <c r="F22">
        <v>51000</v>
      </c>
    </row>
    <row r="23" spans="5:6">
      <c r="E23" t="s">
        <v>18</v>
      </c>
      <c r="F23">
        <v>102000</v>
      </c>
    </row>
    <row r="24" spans="5:6">
      <c r="E24" t="s">
        <v>79</v>
      </c>
      <c r="F24">
        <v>507110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I5" sqref="I5"/>
    </sheetView>
  </sheetViews>
  <sheetFormatPr defaultColWidth="9" defaultRowHeight="14.4" outlineLevelCol="6"/>
  <cols>
    <col min="1" max="1" width="10.2222222222222" customWidth="1"/>
    <col min="2" max="2" width="20.5555555555556" style="30" customWidth="1"/>
    <col min="3" max="3" width="14.4444444444444" customWidth="1"/>
    <col min="4" max="4" width="17" customWidth="1"/>
    <col min="5" max="5" width="10.5555555555556" customWidth="1"/>
    <col min="6" max="6" width="16.5555555555556" customWidth="1"/>
    <col min="7" max="7" width="10.5555555555556" customWidth="1"/>
  </cols>
  <sheetData>
    <row r="1" spans="1:7">
      <c r="A1" s="31" t="s">
        <v>0</v>
      </c>
      <c r="B1" s="32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3" t="s">
        <v>6</v>
      </c>
    </row>
    <row r="2" spans="1:7">
      <c r="A2">
        <v>1001</v>
      </c>
      <c r="B2" s="30" t="s">
        <v>7</v>
      </c>
      <c r="C2" t="s">
        <v>8</v>
      </c>
      <c r="D2" t="s">
        <v>9</v>
      </c>
      <c r="E2" t="s">
        <v>10</v>
      </c>
      <c r="F2">
        <v>50000</v>
      </c>
      <c r="G2" s="34" t="str">
        <f t="shared" ref="G2:G28" si="0">TEXT(A2,"MMMM")</f>
        <v>September</v>
      </c>
    </row>
    <row r="3" spans="1:7">
      <c r="A3">
        <v>1002</v>
      </c>
      <c r="B3" s="30" t="s">
        <v>12</v>
      </c>
      <c r="C3" t="s">
        <v>13</v>
      </c>
      <c r="D3" t="s">
        <v>14</v>
      </c>
      <c r="E3" t="s">
        <v>15</v>
      </c>
      <c r="F3">
        <v>30000</v>
      </c>
      <c r="G3" s="34" t="str">
        <f t="shared" si="0"/>
        <v>September</v>
      </c>
    </row>
    <row r="4" spans="1:7">
      <c r="A4">
        <v>1003</v>
      </c>
      <c r="B4" s="30" t="s">
        <v>16</v>
      </c>
      <c r="C4" t="s">
        <v>17</v>
      </c>
      <c r="D4" t="s">
        <v>18</v>
      </c>
      <c r="E4" t="s">
        <v>19</v>
      </c>
      <c r="F4">
        <v>25000</v>
      </c>
      <c r="G4" s="34" t="str">
        <f t="shared" si="0"/>
        <v>September</v>
      </c>
    </row>
    <row r="5" spans="1:7">
      <c r="A5">
        <v>1005</v>
      </c>
      <c r="B5" s="30" t="s">
        <v>20</v>
      </c>
      <c r="C5" t="s">
        <v>21</v>
      </c>
      <c r="D5" t="s">
        <v>22</v>
      </c>
      <c r="E5" t="s">
        <v>23</v>
      </c>
      <c r="F5">
        <v>3000</v>
      </c>
      <c r="G5" s="34" t="str">
        <f t="shared" si="0"/>
        <v>October</v>
      </c>
    </row>
    <row r="6" spans="1:7">
      <c r="A6">
        <v>1006</v>
      </c>
      <c r="B6" s="30" t="s">
        <v>25</v>
      </c>
      <c r="C6" t="s">
        <v>26</v>
      </c>
      <c r="D6" t="s">
        <v>27</v>
      </c>
      <c r="E6" t="s">
        <v>28</v>
      </c>
      <c r="F6">
        <v>3200</v>
      </c>
      <c r="G6" s="34" t="str">
        <f t="shared" si="0"/>
        <v>October</v>
      </c>
    </row>
    <row r="7" spans="1:7">
      <c r="A7">
        <v>1007</v>
      </c>
      <c r="B7" s="30" t="s">
        <v>29</v>
      </c>
      <c r="C7" t="s">
        <v>30</v>
      </c>
      <c r="D7" t="s">
        <v>31</v>
      </c>
      <c r="E7" t="s">
        <v>10</v>
      </c>
      <c r="F7">
        <v>2500</v>
      </c>
      <c r="G7" s="34" t="str">
        <f t="shared" si="0"/>
        <v>October</v>
      </c>
    </row>
    <row r="8" spans="1:7">
      <c r="A8">
        <v>1008</v>
      </c>
      <c r="B8" s="30" t="s">
        <v>32</v>
      </c>
      <c r="C8" t="s">
        <v>33</v>
      </c>
      <c r="D8" t="s">
        <v>34</v>
      </c>
      <c r="E8" t="s">
        <v>15</v>
      </c>
      <c r="F8">
        <v>16000</v>
      </c>
      <c r="G8" s="34" t="str">
        <f t="shared" si="0"/>
        <v>October</v>
      </c>
    </row>
    <row r="9" spans="1:7">
      <c r="A9">
        <v>1009</v>
      </c>
      <c r="B9" s="30" t="s">
        <v>35</v>
      </c>
      <c r="C9" t="s">
        <v>36</v>
      </c>
      <c r="D9" t="s">
        <v>37</v>
      </c>
      <c r="E9" t="s">
        <v>19</v>
      </c>
      <c r="F9">
        <v>900</v>
      </c>
      <c r="G9" s="34" t="str">
        <f t="shared" si="0"/>
        <v>October</v>
      </c>
    </row>
    <row r="10" spans="1:7">
      <c r="A10">
        <v>1010</v>
      </c>
      <c r="B10" s="30" t="s">
        <v>38</v>
      </c>
      <c r="C10" t="s">
        <v>39</v>
      </c>
      <c r="D10" t="s">
        <v>9</v>
      </c>
      <c r="E10" t="s">
        <v>40</v>
      </c>
      <c r="F10">
        <v>60000</v>
      </c>
      <c r="G10" s="34" t="str">
        <f t="shared" si="0"/>
        <v>October</v>
      </c>
    </row>
    <row r="11" spans="1:7">
      <c r="A11">
        <v>1011</v>
      </c>
      <c r="B11" s="30" t="s">
        <v>41</v>
      </c>
      <c r="C11" t="s">
        <v>42</v>
      </c>
      <c r="D11" t="s">
        <v>14</v>
      </c>
      <c r="E11" t="s">
        <v>23</v>
      </c>
      <c r="F11">
        <v>28000</v>
      </c>
      <c r="G11" s="34" t="str">
        <f t="shared" si="0"/>
        <v>October</v>
      </c>
    </row>
    <row r="12" spans="1:7">
      <c r="A12">
        <v>1012</v>
      </c>
      <c r="B12" s="30" t="s">
        <v>43</v>
      </c>
      <c r="C12" t="s">
        <v>44</v>
      </c>
      <c r="D12" t="s">
        <v>18</v>
      </c>
      <c r="E12" t="s">
        <v>28</v>
      </c>
      <c r="F12">
        <v>27000</v>
      </c>
      <c r="G12" s="34" t="str">
        <f t="shared" si="0"/>
        <v>October</v>
      </c>
    </row>
    <row r="13" spans="1:7">
      <c r="A13">
        <v>1013</v>
      </c>
      <c r="B13" s="30" t="s">
        <v>45</v>
      </c>
      <c r="C13" t="s">
        <v>46</v>
      </c>
      <c r="D13" t="s">
        <v>47</v>
      </c>
      <c r="E13" t="s">
        <v>10</v>
      </c>
      <c r="F13">
        <v>7000</v>
      </c>
      <c r="G13" s="34" t="str">
        <f t="shared" si="0"/>
        <v>October</v>
      </c>
    </row>
    <row r="14" spans="1:7">
      <c r="A14">
        <v>1014</v>
      </c>
      <c r="B14" s="30" t="s">
        <v>48</v>
      </c>
      <c r="C14" t="s">
        <v>49</v>
      </c>
      <c r="D14" t="s">
        <v>22</v>
      </c>
      <c r="E14" t="s">
        <v>15</v>
      </c>
      <c r="F14">
        <v>3500</v>
      </c>
      <c r="G14" s="34" t="str">
        <f t="shared" si="0"/>
        <v>October</v>
      </c>
    </row>
    <row r="15" spans="1:7">
      <c r="A15">
        <v>1015</v>
      </c>
      <c r="B15" s="30" t="s">
        <v>50</v>
      </c>
      <c r="C15" t="s">
        <v>51</v>
      </c>
      <c r="D15" t="s">
        <v>27</v>
      </c>
      <c r="E15" t="s">
        <v>19</v>
      </c>
      <c r="F15">
        <v>4000</v>
      </c>
      <c r="G15" s="34" t="str">
        <f t="shared" si="0"/>
        <v>October</v>
      </c>
    </row>
    <row r="16" spans="1:7">
      <c r="A16">
        <v>1016</v>
      </c>
      <c r="B16" s="30" t="s">
        <v>52</v>
      </c>
      <c r="C16" t="s">
        <v>53</v>
      </c>
      <c r="D16" t="s">
        <v>31</v>
      </c>
      <c r="E16" t="s">
        <v>40</v>
      </c>
      <c r="F16">
        <v>2000</v>
      </c>
      <c r="G16" s="34" t="str">
        <f t="shared" si="0"/>
        <v>October</v>
      </c>
    </row>
    <row r="17" spans="1:7">
      <c r="A17">
        <v>1017</v>
      </c>
      <c r="B17" s="30" t="s">
        <v>54</v>
      </c>
      <c r="C17" t="s">
        <v>55</v>
      </c>
      <c r="D17" t="s">
        <v>34</v>
      </c>
      <c r="E17" t="s">
        <v>23</v>
      </c>
      <c r="F17">
        <v>18000</v>
      </c>
      <c r="G17" s="34" t="str">
        <f t="shared" si="0"/>
        <v>October</v>
      </c>
    </row>
    <row r="18" spans="1:7">
      <c r="A18">
        <v>1019</v>
      </c>
      <c r="B18" s="30" t="s">
        <v>56</v>
      </c>
      <c r="C18" t="s">
        <v>57</v>
      </c>
      <c r="D18" t="s">
        <v>9</v>
      </c>
      <c r="E18" t="s">
        <v>10</v>
      </c>
      <c r="F18">
        <v>52000</v>
      </c>
      <c r="G18" s="34" t="str">
        <f t="shared" si="0"/>
        <v>October</v>
      </c>
    </row>
    <row r="19" spans="1:7">
      <c r="A19">
        <v>1020</v>
      </c>
      <c r="B19" s="30" t="s">
        <v>58</v>
      </c>
      <c r="C19" t="s">
        <v>59</v>
      </c>
      <c r="D19" t="s">
        <v>14</v>
      </c>
      <c r="E19" t="s">
        <v>15</v>
      </c>
      <c r="F19">
        <v>310</v>
      </c>
      <c r="G19" s="34" t="str">
        <f t="shared" si="0"/>
        <v>October</v>
      </c>
    </row>
    <row r="20" spans="1:7">
      <c r="A20">
        <v>1021</v>
      </c>
      <c r="B20" s="30" t="s">
        <v>60</v>
      </c>
      <c r="C20" t="s">
        <v>61</v>
      </c>
      <c r="D20" t="s">
        <v>18</v>
      </c>
      <c r="E20" t="s">
        <v>19</v>
      </c>
      <c r="F20">
        <v>26000</v>
      </c>
      <c r="G20" s="34" t="str">
        <f t="shared" si="0"/>
        <v>October</v>
      </c>
    </row>
    <row r="21" spans="1:7">
      <c r="A21">
        <v>1022</v>
      </c>
      <c r="B21" s="30" t="s">
        <v>62</v>
      </c>
      <c r="C21" t="s">
        <v>63</v>
      </c>
      <c r="D21" t="s">
        <v>22</v>
      </c>
      <c r="E21" t="s">
        <v>40</v>
      </c>
      <c r="F21">
        <v>3200</v>
      </c>
      <c r="G21" s="34" t="str">
        <f t="shared" si="0"/>
        <v>October</v>
      </c>
    </row>
    <row r="22" spans="1:7">
      <c r="A22">
        <v>1024</v>
      </c>
      <c r="B22" s="30" t="s">
        <v>64</v>
      </c>
      <c r="C22" t="s">
        <v>65</v>
      </c>
      <c r="D22" t="s">
        <v>9</v>
      </c>
      <c r="E22" t="s">
        <v>28</v>
      </c>
      <c r="F22">
        <v>61000</v>
      </c>
      <c r="G22" s="34" t="str">
        <f t="shared" si="0"/>
        <v>October</v>
      </c>
    </row>
    <row r="23" spans="1:7">
      <c r="A23">
        <v>1025</v>
      </c>
      <c r="B23" s="30" t="s">
        <v>66</v>
      </c>
      <c r="C23" t="s">
        <v>67</v>
      </c>
      <c r="D23" t="s">
        <v>14</v>
      </c>
      <c r="E23" t="s">
        <v>10</v>
      </c>
      <c r="F23">
        <v>29000</v>
      </c>
      <c r="G23" s="34" t="str">
        <f t="shared" si="0"/>
        <v>October</v>
      </c>
    </row>
    <row r="24" spans="1:7">
      <c r="A24">
        <v>1026</v>
      </c>
      <c r="B24" s="30" t="s">
        <v>68</v>
      </c>
      <c r="C24" t="s">
        <v>69</v>
      </c>
      <c r="D24" t="s">
        <v>31</v>
      </c>
      <c r="E24" t="s">
        <v>15</v>
      </c>
      <c r="F24">
        <v>2200</v>
      </c>
      <c r="G24" s="34" t="str">
        <f t="shared" si="0"/>
        <v>October</v>
      </c>
    </row>
    <row r="25" spans="1:7">
      <c r="A25">
        <v>1027</v>
      </c>
      <c r="B25" s="30" t="s">
        <v>70</v>
      </c>
      <c r="C25" t="s">
        <v>71</v>
      </c>
      <c r="D25" t="s">
        <v>47</v>
      </c>
      <c r="E25" t="s">
        <v>19</v>
      </c>
      <c r="F25">
        <v>7500</v>
      </c>
      <c r="G25" s="34" t="str">
        <f t="shared" si="0"/>
        <v>October</v>
      </c>
    </row>
    <row r="26" spans="1:7">
      <c r="A26">
        <v>1028</v>
      </c>
      <c r="B26" s="30" t="s">
        <v>72</v>
      </c>
      <c r="C26" t="s">
        <v>73</v>
      </c>
      <c r="D26" t="s">
        <v>18</v>
      </c>
      <c r="E26" t="s">
        <v>40</v>
      </c>
      <c r="F26">
        <v>24000</v>
      </c>
      <c r="G26" s="34" t="str">
        <f t="shared" si="0"/>
        <v>October</v>
      </c>
    </row>
    <row r="27" spans="1:7">
      <c r="A27">
        <v>1029</v>
      </c>
      <c r="B27" s="30" t="s">
        <v>74</v>
      </c>
      <c r="C27" t="s">
        <v>75</v>
      </c>
      <c r="D27" t="s">
        <v>34</v>
      </c>
      <c r="E27" t="s">
        <v>23</v>
      </c>
      <c r="F27">
        <v>17000</v>
      </c>
      <c r="G27" s="34" t="str">
        <f t="shared" si="0"/>
        <v>October</v>
      </c>
    </row>
    <row r="28" spans="1:7">
      <c r="A28">
        <v>1030</v>
      </c>
      <c r="B28" s="30" t="s">
        <v>76</v>
      </c>
      <c r="C28" t="s">
        <v>21</v>
      </c>
      <c r="D28" t="s">
        <v>37</v>
      </c>
      <c r="E28" t="s">
        <v>28</v>
      </c>
      <c r="F28">
        <v>4800</v>
      </c>
      <c r="G28" s="34" t="str">
        <f t="shared" si="0"/>
        <v>October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showGridLines="0" tabSelected="1" workbookViewId="0">
      <selection activeCell="A1" sqref="A1:S2"/>
    </sheetView>
  </sheetViews>
  <sheetFormatPr defaultColWidth="8.88888888888889" defaultRowHeight="14.4"/>
  <cols>
    <col min="3" max="3" width="12"/>
    <col min="5" max="5" width="1.77777777777778" style="1" customWidth="1"/>
    <col min="10" max="10" width="1.77777777777778" style="1" customWidth="1"/>
    <col min="15" max="15" width="1.77777777777778" style="1" customWidth="1"/>
  </cols>
  <sheetData>
    <row r="1" spans="1:19">
      <c r="A1" s="2" t="s">
        <v>80</v>
      </c>
      <c r="B1" s="2"/>
      <c r="C1" s="2"/>
      <c r="D1" s="2"/>
      <c r="E1" s="3"/>
      <c r="F1" s="2"/>
      <c r="G1" s="2"/>
      <c r="H1" s="2"/>
      <c r="I1" s="2"/>
      <c r="J1" s="3"/>
      <c r="K1" s="2"/>
      <c r="L1" s="2"/>
      <c r="M1" s="2"/>
      <c r="N1" s="2"/>
      <c r="O1" s="3"/>
      <c r="P1" s="2"/>
      <c r="Q1" s="2"/>
      <c r="R1" s="2"/>
      <c r="S1" s="2"/>
    </row>
    <row r="2" ht="25" customHeight="1" spans="1:19">
      <c r="A2" s="2"/>
      <c r="B2" s="2"/>
      <c r="C2" s="2"/>
      <c r="D2" s="2"/>
      <c r="E2" s="3"/>
      <c r="F2" s="2"/>
      <c r="G2" s="2"/>
      <c r="H2" s="2"/>
      <c r="I2" s="2"/>
      <c r="J2" s="3"/>
      <c r="K2" s="2"/>
      <c r="L2" s="2"/>
      <c r="M2" s="2"/>
      <c r="N2" s="2"/>
      <c r="O2" s="3"/>
      <c r="P2" s="2"/>
      <c r="Q2" s="2"/>
      <c r="R2" s="2"/>
      <c r="S2" s="2"/>
    </row>
    <row r="3" ht="10" customHeight="1" spans="1:19">
      <c r="A3" s="4"/>
      <c r="B3" s="4"/>
      <c r="C3" s="4"/>
      <c r="D3" s="4"/>
      <c r="E3" s="5"/>
      <c r="F3" s="6"/>
      <c r="G3" s="7"/>
      <c r="H3" s="7"/>
      <c r="I3" s="7"/>
      <c r="J3" s="5"/>
      <c r="K3" s="23"/>
      <c r="L3" s="7"/>
      <c r="M3" s="7"/>
      <c r="N3" s="7"/>
      <c r="O3" s="5"/>
      <c r="P3" s="24"/>
      <c r="Q3" s="24"/>
      <c r="R3" s="24"/>
      <c r="S3" s="24"/>
    </row>
    <row r="4" ht="23.4" spans="1:19">
      <c r="A4" s="8" t="s">
        <v>81</v>
      </c>
      <c r="B4" s="9"/>
      <c r="C4" s="9"/>
      <c r="D4" s="10"/>
      <c r="E4" s="5"/>
      <c r="F4" s="11" t="s">
        <v>82</v>
      </c>
      <c r="G4" s="12"/>
      <c r="H4" s="12"/>
      <c r="I4" s="25"/>
      <c r="J4" s="5"/>
      <c r="K4" s="11" t="s">
        <v>83</v>
      </c>
      <c r="L4" s="12"/>
      <c r="M4" s="12"/>
      <c r="N4" s="25"/>
      <c r="O4" s="5"/>
      <c r="P4" s="11" t="s">
        <v>84</v>
      </c>
      <c r="Q4" s="28"/>
      <c r="R4" s="28"/>
      <c r="S4" s="29"/>
    </row>
    <row r="5" spans="1:19">
      <c r="A5" s="13">
        <v>507110</v>
      </c>
      <c r="B5" s="14"/>
      <c r="C5" s="14"/>
      <c r="D5" s="15"/>
      <c r="E5" s="5"/>
      <c r="F5" s="16">
        <f>GETPIVOTDATA("PRODUCT_NAME",Sheet4!$E$1)</f>
        <v>27</v>
      </c>
      <c r="G5" s="17"/>
      <c r="H5" s="17"/>
      <c r="I5" s="26"/>
      <c r="J5" s="5"/>
      <c r="K5" s="16" t="s">
        <v>9</v>
      </c>
      <c r="L5" s="17"/>
      <c r="M5" s="17"/>
      <c r="N5" s="26"/>
      <c r="O5" s="5"/>
      <c r="P5" s="16" t="s">
        <v>10</v>
      </c>
      <c r="Q5" s="17"/>
      <c r="R5" s="17"/>
      <c r="S5" s="26"/>
    </row>
    <row r="6" spans="1:19">
      <c r="A6" s="18"/>
      <c r="B6" s="19"/>
      <c r="C6" s="19"/>
      <c r="D6" s="20"/>
      <c r="E6" s="5"/>
      <c r="F6" s="21"/>
      <c r="G6" s="22"/>
      <c r="H6" s="22"/>
      <c r="I6" s="27"/>
      <c r="J6" s="5"/>
      <c r="K6" s="21"/>
      <c r="L6" s="22"/>
      <c r="M6" s="22"/>
      <c r="N6" s="27"/>
      <c r="O6" s="5"/>
      <c r="P6" s="21"/>
      <c r="Q6" s="22"/>
      <c r="R6" s="22"/>
      <c r="S6" s="27"/>
    </row>
    <row r="7" ht="10" customHeight="1"/>
    <row r="22" ht="10" customHeight="1"/>
  </sheetData>
  <mergeCells count="9">
    <mergeCell ref="A4:D4"/>
    <mergeCell ref="F4:I4"/>
    <mergeCell ref="K4:N4"/>
    <mergeCell ref="P4:S4"/>
    <mergeCell ref="A1:S2"/>
    <mergeCell ref="A5:D6"/>
    <mergeCell ref="F5:I6"/>
    <mergeCell ref="K5:N6"/>
    <mergeCell ref="P5:S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Cleaned_Data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</cp:lastModifiedBy>
  <dcterms:created xsi:type="dcterms:W3CDTF">2026-05-27T14:26:00Z</dcterms:created>
  <dcterms:modified xsi:type="dcterms:W3CDTF">2026-06-24T16:35:53Z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3EC5A42732A544A8B60BC3296EEBDF92_13</vt:lpwstr>
  </property>
  <property fmtid="{D5CDD505-2E9C-101B-9397-08002B2CF9AE}" pid="3" name="KSOProductBuildVer">
    <vt:lpwstr>1033-12.2.0.23196</vt:lpwstr>
  </property>
</Properties>
</file>